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niela.c.barbosa\Downloads\"/>
    </mc:Choice>
  </mc:AlternateContent>
  <xr:revisionPtr revIDLastSave="0" documentId="13_ncr:1_{3EA2FB70-242D-40D5-A179-C84D31693FC7}" xr6:coauthVersionLast="47" xr6:coauthVersionMax="47" xr10:uidLastSave="{00000000-0000-0000-0000-000000000000}"/>
  <bookViews>
    <workbookView xWindow="-110" yWindow="-110" windowWidth="19420" windowHeight="1150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2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3" l="1"/>
  <c r="E19" i="3"/>
</calcChain>
</file>

<file path=xl/sharedStrings.xml><?xml version="1.0" encoding="utf-8"?>
<sst xmlns="http://schemas.openxmlformats.org/spreadsheetml/2006/main" count="2020" uniqueCount="322">
  <si>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</si>
  <si>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</si>
  <si>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</si>
  <si>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</si>
  <si>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</si>
  <si>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</si>
  <si>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</si>
  <si>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</si>
  <si>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</si>
  <si>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</si>
  <si>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</si>
  <si>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</si>
  <si>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</si>
  <si>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</si>
  <si>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</si>
  <si>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</si>
  <si>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</si>
  <si>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</si>
  <si>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</si>
  <si>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</si>
  <si>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</si>
  <si>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</si>
  <si>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</si>
  <si>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</si>
  <si>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</si>
  <si>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</si>
  <si>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</si>
  <si>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</si>
  <si>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</si>
  <si>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</si>
  <si>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</si>
  <si>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</si>
  <si>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</si>
  <si>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</si>
  <si>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</si>
  <si>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</si>
  <si>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</si>
  <si>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</si>
  <si>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</si>
  <si>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</si>
  <si>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</si>
  <si>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</si>
  <si>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</si>
  <si>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</si>
  <si>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</si>
  <si>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</si>
  <si>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</si>
  <si>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</si>
  <si>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</si>
  <si>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</si>
  <si>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</si>
  <si>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</si>
  <si>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</si>
  <si>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</si>
  <si>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</si>
  <si>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</si>
  <si>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</si>
  <si>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</si>
  <si>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</si>
  <si>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</si>
  <si>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</si>
  <si>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</si>
  <si>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</si>
  <si>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</si>
  <si>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</si>
  <si>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</si>
  <si>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</si>
  <si>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</si>
  <si>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</si>
  <si>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</si>
  <si>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</si>
  <si>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</si>
  <si>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</si>
  <si>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</si>
  <si>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</si>
  <si>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</si>
  <si>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</si>
  <si>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</si>
  <si>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</si>
  <si>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</si>
  <si>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</si>
  <si>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</si>
  <si>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</si>
  <si>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</si>
  <si>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</si>
  <si>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</si>
  <si>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</si>
  <si>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</si>
  <si>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</si>
  <si>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</si>
  <si>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</si>
  <si>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</si>
  <si>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</si>
  <si>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</si>
  <si>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</si>
  <si>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</si>
  <si>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</si>
  <si>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</si>
  <si>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</si>
  <si>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</si>
  <si>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</si>
  <si>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</si>
  <si>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</si>
  <si>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</si>
  <si>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</si>
  <si>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</si>
  <si>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</si>
  <si>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</si>
  <si>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</si>
  <si>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</si>
  <si>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</si>
  <si>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</si>
  <si>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</si>
  <si>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</si>
  <si>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</si>
  <si>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</si>
  <si>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</si>
  <si>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</si>
  <si>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</si>
  <si>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</si>
  <si>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</si>
  <si>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</si>
  <si>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</si>
  <si>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</si>
  <si>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</si>
  <si>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</si>
  <si>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</si>
  <si>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</si>
  <si>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</si>
  <si>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</si>
  <si>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</si>
  <si>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</si>
  <si>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</si>
  <si>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</si>
  <si>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</si>
  <si>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</si>
  <si>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</si>
  <si>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</si>
  <si>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</si>
  <si>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</si>
  <si>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</si>
  <si>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</si>
  <si>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</si>
  <si>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</si>
  <si>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</si>
  <si>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</si>
  <si>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</si>
  <si>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</si>
  <si>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</si>
  <si>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</si>
  <si>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</si>
  <si>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</si>
  <si>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</si>
  <si>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</si>
  <si>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</si>
  <si>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</si>
  <si>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</si>
  <si>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</si>
  <si>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</si>
  <si>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</si>
  <si>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</si>
  <si>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</si>
  <si>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</si>
  <si>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</si>
  <si>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</si>
  <si>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</si>
  <si>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</si>
  <si>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</si>
  <si>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</si>
  <si>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</si>
  <si>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</si>
  <si>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</si>
  <si>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</si>
  <si>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</si>
  <si>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</si>
  <si>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</si>
  <si>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</si>
  <si>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</si>
  <si>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</si>
  <si>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</si>
  <si>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</si>
  <si>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</si>
  <si>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</si>
  <si>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</si>
  <si>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</si>
  <si>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</si>
  <si>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</si>
  <si>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</si>
  <si>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</si>
  <si>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</si>
  <si>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</si>
  <si>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</si>
  <si>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</si>
  <si>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</si>
  <si>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</si>
  <si>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</si>
  <si>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</si>
  <si>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</si>
  <si>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</si>
  <si>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</si>
  <si>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</si>
  <si>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</si>
  <si>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</si>
  <si>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</si>
  <si>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</si>
  <si>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</si>
  <si>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</si>
  <si>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</si>
  <si>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</si>
  <si>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</si>
  <si>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</si>
  <si>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</si>
  <si>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</si>
  <si>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</si>
  <si>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</si>
  <si>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</si>
  <si>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</si>
  <si>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</si>
  <si>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</si>
  <si>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</si>
  <si>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</si>
  <si>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</si>
  <si>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</si>
  <si>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</si>
  <si>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</si>
  <si>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</si>
  <si>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</si>
  <si>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</si>
  <si>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</si>
  <si>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</si>
  <si>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</si>
  <si>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</si>
  <si>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</si>
  <si>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</si>
  <si>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</si>
  <si>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</si>
  <si>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</si>
  <si>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</si>
  <si>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</si>
  <si>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</si>
  <si>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</si>
  <si>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</si>
  <si>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</si>
  <si>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</si>
  <si>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</si>
  <si>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</si>
  <si>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</si>
  <si>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</si>
  <si>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</si>
  <si>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</si>
  <si>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</si>
  <si>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</si>
  <si>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</si>
  <si>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</si>
  <si>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</si>
  <si>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</si>
  <si>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</si>
  <si>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</si>
  <si>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</si>
  <si>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</si>
  <si>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</si>
  <si>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</si>
  <si>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</si>
  <si>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</si>
  <si>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</si>
  <si>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</si>
  <si>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</si>
  <si>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</si>
  <si>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</si>
  <si>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</si>
  <si>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</si>
  <si>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</si>
  <si>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</si>
  <si>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</si>
  <si>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</si>
  <si>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</si>
  <si>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</si>
  <si>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</si>
  <si>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</si>
  <si>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</si>
  <si>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</si>
  <si>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</si>
  <si>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</si>
  <si>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</si>
  <si>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</si>
  <si>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</si>
  <si>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</si>
  <si>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</si>
  <si>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</si>
  <si>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</si>
  <si>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</si>
  <si>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</si>
  <si>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</si>
  <si>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</si>
  <si>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</si>
  <si>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</si>
  <si>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</si>
  <si>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</si>
  <si>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</si>
  <si>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</si>
  <si>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</si>
  <si>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</si>
  <si>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</si>
  <si>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</si>
  <si>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</si>
  <si>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</si>
  <si>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</si>
  <si>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</si>
  <si>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</si>
  <si>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</si>
  <si>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</si>
  <si>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</si>
  <si>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</si>
  <si>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</si>
  <si>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</si>
  <si>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</si>
  <si>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</si>
  <si>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Pergunta de Negócios 1: Total de Vendas dos planos anuais, com todas as assinaturas agregadas</t>
  </si>
  <si>
    <t>Pergunta de Negócios 2: Total de Vendas dos planos anuais, separando as auto renovações das não renovações automáticas</t>
  </si>
  <si>
    <t>Pergunta de Negócios 3: Total de vendas de assinaturas do EA PLAY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</si>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</sst>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5"/>
      <color rgb="FF22C55E"/>
      <name val="Segoe UI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165" fontId="0" fillId="0" borderId="0" xfId="0" applyNumberFormat="1"/>
    <xf numFmtId="0" fontId="4" fillId="0" borderId="2" xfId="1" applyFont="1" applyBorder="1" applyAlignment="1">
      <alignment horizontal="left" indent="4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sz val="12"/>
        <color theme="0"/>
      </font>
      <border>
        <bottom style="thin">
          <color theme="9"/>
        </bottom>
        <vertical/>
        <horizontal/>
      </border>
    </dxf>
    <dxf>
      <font>
        <color theme="0"/>
      </font>
      <fill>
        <patternFill>
          <bgColor rgb="FF22C55E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F78D9E1C-6D68-41EA-9D75-C1D262B2DEBB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XBOX.xlsx]C̳álculos!tbl_anual_value</c:name>
    <c:fmtId val="7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22C55E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976871397835672E-2"/>
          <c:y val="0.15051024619088157"/>
          <c:w val="0.88628208715091561"/>
          <c:h val="0.745720265737198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22C55E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C̳álculos!$C$7:$C$9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8-4216-966A-1E005D0507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1687039"/>
        <c:axId val="441684159"/>
      </c:barChart>
      <c:catAx>
        <c:axId val="441687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22C55E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pt-BR"/>
          </a:p>
        </c:txPr>
        <c:crossAx val="441684159"/>
        <c:crosses val="autoZero"/>
        <c:auto val="1"/>
        <c:lblAlgn val="ctr"/>
        <c:lblOffset val="100"/>
        <c:noMultiLvlLbl val="0"/>
      </c:catAx>
      <c:valAx>
        <c:axId val="44168415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4168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1785937</xdr:colOff>
      <xdr:row>0</xdr:row>
      <xdr:rowOff>47626</xdr:rowOff>
    </xdr:from>
    <xdr:to>
      <xdr:col>2</xdr:col>
      <xdr:colOff>277812</xdr:colOff>
      <xdr:row>2</xdr:row>
      <xdr:rowOff>142873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0C29A0-0AF3-4EA7-9F0F-FC504FA74F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22" t="21064" r="72893" b="18376"/>
        <a:stretch>
          <a:fillRect/>
        </a:stretch>
      </xdr:blipFill>
      <xdr:spPr>
        <a:xfrm>
          <a:off x="1785937" y="47626"/>
          <a:ext cx="563563" cy="547685"/>
        </a:xfrm>
        <a:prstGeom prst="rect">
          <a:avLst/>
        </a:prstGeom>
      </xdr:spPr>
    </xdr:pic>
    <xdr:clientData/>
  </xdr:twoCellAnchor>
  <xdr:twoCellAnchor editAs="oneCell">
    <xdr:from>
      <xdr:col>0</xdr:col>
      <xdr:colOff>39687</xdr:colOff>
      <xdr:row>6</xdr:row>
      <xdr:rowOff>269875</xdr:rowOff>
    </xdr:from>
    <xdr:to>
      <xdr:col>0</xdr:col>
      <xdr:colOff>1770062</xdr:colOff>
      <xdr:row>12</xdr:row>
      <xdr:rowOff>174625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F22707A9-0E34-4274-B7EF-4C004F3DDE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87" y="1343025"/>
              <a:ext cx="1730375" cy="124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127001</xdr:colOff>
      <xdr:row>12</xdr:row>
      <xdr:rowOff>182553</xdr:rowOff>
    </xdr:from>
    <xdr:to>
      <xdr:col>15</xdr:col>
      <xdr:colOff>269875</xdr:colOff>
      <xdr:row>30</xdr:row>
      <xdr:rowOff>85601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21121472-67D5-D653-A5B0-03406ADA1952}"/>
            </a:ext>
          </a:extLst>
        </xdr:cNvPr>
        <xdr:cNvGrpSpPr/>
      </xdr:nvGrpSpPr>
      <xdr:grpSpPr>
        <a:xfrm>
          <a:off x="2197101" y="2595553"/>
          <a:ext cx="7915274" cy="3217748"/>
          <a:chOff x="2016125" y="1222375"/>
          <a:chExt cx="3532188" cy="2293938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F73EE598-4963-B6A6-9A63-1988381BAA8E}"/>
              </a:ext>
            </a:extLst>
          </xdr:cNvPr>
          <xdr:cNvSpPr/>
        </xdr:nvSpPr>
        <xdr:spPr>
          <a:xfrm>
            <a:off x="2016125" y="1222375"/>
            <a:ext cx="3532188" cy="229393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D4628D51-CD60-4963-A9CB-4BCF234EB73B}"/>
              </a:ext>
            </a:extLst>
          </xdr:cNvPr>
          <xdr:cNvGraphicFramePr>
            <a:graphicFrameLocks/>
          </xdr:cNvGraphicFramePr>
        </xdr:nvGraphicFramePr>
        <xdr:xfrm>
          <a:off x="2103658" y="1587888"/>
          <a:ext cx="3309939" cy="185543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</xdr:col>
      <xdr:colOff>158753</xdr:colOff>
      <xdr:row>5</xdr:row>
      <xdr:rowOff>61912</xdr:rowOff>
    </xdr:from>
    <xdr:to>
      <xdr:col>7</xdr:col>
      <xdr:colOff>500066</xdr:colOff>
      <xdr:row>10</xdr:row>
      <xdr:rowOff>115887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BF42DC51-5D20-7952-B21E-6203C21E74EC}"/>
            </a:ext>
          </a:extLst>
        </xdr:cNvPr>
        <xdr:cNvGrpSpPr/>
      </xdr:nvGrpSpPr>
      <xdr:grpSpPr>
        <a:xfrm>
          <a:off x="2228853" y="1014412"/>
          <a:ext cx="3389313" cy="1146175"/>
          <a:chOff x="2103438" y="793750"/>
          <a:chExt cx="3397250" cy="1143000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885198F1-3BA8-E6F3-C961-55C12410EE4E}"/>
              </a:ext>
            </a:extLst>
          </xdr:cNvPr>
          <xdr:cNvGrpSpPr/>
        </xdr:nvGrpSpPr>
        <xdr:grpSpPr>
          <a:xfrm>
            <a:off x="2103438" y="793750"/>
            <a:ext cx="3397250" cy="1143000"/>
            <a:chOff x="2103438" y="793751"/>
            <a:chExt cx="3016250" cy="865188"/>
          </a:xfrm>
          <a:effectLst>
            <a:outerShdw blurRad="50800" dist="38100" algn="l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E0A23BFD-ED43-019B-2391-9EBE26BEACF2}"/>
                </a:ext>
              </a:extLst>
            </xdr:cNvPr>
            <xdr:cNvSpPr/>
          </xdr:nvSpPr>
          <xdr:spPr>
            <a:xfrm>
              <a:off x="2103438" y="801689"/>
              <a:ext cx="3016250" cy="85725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r"/>
              <a:endParaRPr lang="en-US" sz="2000">
                <a:solidFill>
                  <a:srgbClr val="22C55E"/>
                </a:solidFill>
                <a:latin typeface="Segoe UI Black" panose="020B0A02040204020203" pitchFamily="34" charset="0"/>
                <a:ea typeface="Segoe UI Black" panose="020B0A02040204020203" pitchFamily="34" charset="0"/>
              </a:endParaRPr>
            </a:p>
          </xdr:txBody>
        </xdr:sp>
        <xdr:sp macro="" textlink="">
          <xdr:nvSpPr>
            <xdr:cNvPr id="9" name="Retângulo: Cantos Superiores Arredondados 8">
              <a:extLst>
                <a:ext uri="{FF2B5EF4-FFF2-40B4-BE49-F238E27FC236}">
                  <a16:creationId xmlns:a16="http://schemas.microsoft.com/office/drawing/2014/main" id="{C30E34E5-5695-E1AB-A761-8BAAC16F5EBC}"/>
                </a:ext>
              </a:extLst>
            </xdr:cNvPr>
            <xdr:cNvSpPr/>
          </xdr:nvSpPr>
          <xdr:spPr>
            <a:xfrm>
              <a:off x="2103440" y="793751"/>
              <a:ext cx="3016247" cy="300413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latin typeface="Segoe UI Semibold" panose="020B0702040204020203" pitchFamily="34" charset="0"/>
                  <a:ea typeface="Segoe UI Black" panose="020B0A02040204020203" pitchFamily="34" charset="0"/>
                  <a:cs typeface="Segoe UI Semibold" panose="020B0702040204020203" pitchFamily="34" charset="0"/>
                </a:rPr>
                <a:t>TOTAL SUBSCRIPTIONS EA PLAY SEASONS PASS</a:t>
              </a:r>
            </a:p>
          </xdr:txBody>
        </xdr:sp>
      </xdr:grp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F19D9E0C-DFA4-4E5D-AAC2-F778ECC57C3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5000" b="29729"/>
          <a:stretch>
            <a:fillRect/>
          </a:stretch>
        </xdr:blipFill>
        <xdr:spPr>
          <a:xfrm>
            <a:off x="2203939" y="1238256"/>
            <a:ext cx="1272686" cy="555144"/>
          </a:xfrm>
          <a:prstGeom prst="rect">
            <a:avLst/>
          </a:prstGeom>
        </xdr:spPr>
      </xdr:pic>
      <xdr:sp macro="" textlink="C̳álculos!E19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3B4E91B3-E547-4C1F-FFFA-237F1ECC2548}"/>
              </a:ext>
            </a:extLst>
          </xdr:cNvPr>
          <xdr:cNvSpPr/>
        </xdr:nvSpPr>
        <xdr:spPr>
          <a:xfrm>
            <a:off x="3690937" y="1298743"/>
            <a:ext cx="1762125" cy="410839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21AD5FC8-4F02-4EE7-9FD4-C7608C645D58}" type="TxLink">
              <a:rPr lang="en-US" sz="2000" b="0" i="0" u="none" strike="noStrike">
                <a:solidFill>
                  <a:srgbClr val="22C55E"/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rPr>
              <a:t>R$ 990,00</a:t>
            </a:fld>
            <a:endParaRPr lang="pt-BR" sz="2000">
              <a:solidFill>
                <a:srgbClr val="22C55E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endParaRPr>
          </a:p>
        </xdr:txBody>
      </xdr:sp>
    </xdr:grpSp>
    <xdr:clientData/>
  </xdr:twoCellAnchor>
  <xdr:twoCellAnchor>
    <xdr:from>
      <xdr:col>9</xdr:col>
      <xdr:colOff>333369</xdr:colOff>
      <xdr:row>5</xdr:row>
      <xdr:rowOff>65880</xdr:rowOff>
    </xdr:from>
    <xdr:to>
      <xdr:col>15</xdr:col>
      <xdr:colOff>253994</xdr:colOff>
      <xdr:row>10</xdr:row>
      <xdr:rowOff>111919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FF1E7D65-2333-9145-76A1-337FA96BCF21}"/>
            </a:ext>
          </a:extLst>
        </xdr:cNvPr>
        <xdr:cNvGrpSpPr/>
      </xdr:nvGrpSpPr>
      <xdr:grpSpPr>
        <a:xfrm>
          <a:off x="6670669" y="1018380"/>
          <a:ext cx="3425825" cy="1138239"/>
          <a:chOff x="5968989" y="801685"/>
          <a:chExt cx="3436938" cy="1135064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CF8447C7-FECB-B49E-6BCD-2B48AB939CA2}"/>
              </a:ext>
            </a:extLst>
          </xdr:cNvPr>
          <xdr:cNvGrpSpPr/>
        </xdr:nvGrpSpPr>
        <xdr:grpSpPr>
          <a:xfrm>
            <a:off x="5968989" y="801685"/>
            <a:ext cx="3436938" cy="1135064"/>
            <a:chOff x="5968989" y="801685"/>
            <a:chExt cx="3436938" cy="1135064"/>
          </a:xfrm>
        </xdr:grpSpPr>
        <xdr:grpSp>
          <xdr:nvGrpSpPr>
            <xdr:cNvPr id="13" name="Agrupar 12">
              <a:extLst>
                <a:ext uri="{FF2B5EF4-FFF2-40B4-BE49-F238E27FC236}">
                  <a16:creationId xmlns:a16="http://schemas.microsoft.com/office/drawing/2014/main" id="{621E5D50-CC0F-4B1C-841B-6C66DFD3DDC3}"/>
                </a:ext>
              </a:extLst>
            </xdr:cNvPr>
            <xdr:cNvGrpSpPr/>
          </xdr:nvGrpSpPr>
          <xdr:grpSpPr>
            <a:xfrm>
              <a:off x="5968989" y="801685"/>
              <a:ext cx="3436938" cy="1135064"/>
              <a:chOff x="2103438" y="793750"/>
              <a:chExt cx="3016250" cy="865189"/>
            </a:xfrm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xdr:grpSpPr>
          <xdr:sp macro="" textlink="">
            <xdr:nvSpPr>
              <xdr:cNvPr id="14" name="Retângulo: Cantos Arredondados 13">
                <a:extLst>
                  <a:ext uri="{FF2B5EF4-FFF2-40B4-BE49-F238E27FC236}">
                    <a16:creationId xmlns:a16="http://schemas.microsoft.com/office/drawing/2014/main" id="{EA8DB105-4934-A2CC-090C-9BC0B677279E}"/>
                  </a:ext>
                </a:extLst>
              </xdr:cNvPr>
              <xdr:cNvSpPr/>
            </xdr:nvSpPr>
            <xdr:spPr>
              <a:xfrm>
                <a:off x="2103438" y="801689"/>
                <a:ext cx="3016250" cy="857250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b"/>
              <a:lstStyle/>
              <a:p>
                <a:pPr algn="r"/>
                <a:endParaRPr lang="en-US" sz="2000">
                  <a:solidFill>
                    <a:srgbClr val="22C55E"/>
                  </a:solidFill>
                  <a:latin typeface="Segoe UI Black" panose="020B0A02040204020203" pitchFamily="34" charset="0"/>
                  <a:ea typeface="Segoe UI Black" panose="020B0A02040204020203" pitchFamily="34" charset="0"/>
                </a:endParaRPr>
              </a:p>
            </xdr:txBody>
          </xdr:sp>
          <xdr:sp macro="" textlink="">
            <xdr:nvSpPr>
              <xdr:cNvPr id="15" name="Retângulo: Cantos Superiores Arredondados 14">
                <a:extLst>
                  <a:ext uri="{FF2B5EF4-FFF2-40B4-BE49-F238E27FC236}">
                    <a16:creationId xmlns:a16="http://schemas.microsoft.com/office/drawing/2014/main" id="{DFC2DC3D-15AE-4D53-1DAF-D127B824299C}"/>
                  </a:ext>
                </a:extLst>
              </xdr:cNvPr>
              <xdr:cNvSpPr/>
            </xdr:nvSpPr>
            <xdr:spPr>
              <a:xfrm>
                <a:off x="2103440" y="793750"/>
                <a:ext cx="3016247" cy="302513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>
                    <a:latin typeface="Segoe UI Semibold" panose="020B0702040204020203" pitchFamily="34" charset="0"/>
                    <a:ea typeface="Segoe UI Black" panose="020B0A02040204020203" pitchFamily="34" charset="0"/>
                    <a:cs typeface="Segoe UI Semibold" panose="020B0702040204020203" pitchFamily="34" charset="0"/>
                  </a:rPr>
                  <a:t>TOTAL SUBSCRIPTIONS EA PLAY SEASONS PASS</a:t>
                </a:r>
              </a:p>
            </xdr:txBody>
          </xdr:sp>
        </xdr:grpSp>
        <xdr:grpSp>
          <xdr:nvGrpSpPr>
            <xdr:cNvPr id="17" name="Agrupar 16">
              <a:extLst>
                <a:ext uri="{FF2B5EF4-FFF2-40B4-BE49-F238E27FC236}">
                  <a16:creationId xmlns:a16="http://schemas.microsoft.com/office/drawing/2014/main" id="{DC2DDE0E-C9BF-4BDA-97CC-7B2090047C00}"/>
                </a:ext>
              </a:extLst>
            </xdr:cNvPr>
            <xdr:cNvGrpSpPr/>
          </xdr:nvGrpSpPr>
          <xdr:grpSpPr>
            <a:xfrm>
              <a:off x="6127749" y="1291433"/>
              <a:ext cx="1135063" cy="536575"/>
              <a:chOff x="3495675" y="5400674"/>
              <a:chExt cx="1549476" cy="752476"/>
            </a:xfrm>
          </xdr:grpSpPr>
          <xdr:pic>
            <xdr:nvPicPr>
              <xdr:cNvPr id="18" name="Imagem 17">
                <a:extLst>
                  <a:ext uri="{FF2B5EF4-FFF2-40B4-BE49-F238E27FC236}">
                    <a16:creationId xmlns:a16="http://schemas.microsoft.com/office/drawing/2014/main" id="{6D82082C-E5F4-2010-CB9F-3EDA115275A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19" name="Gráfico 18">
                <a:extLst>
                  <a:ext uri="{FF2B5EF4-FFF2-40B4-BE49-F238E27FC236}">
                    <a16:creationId xmlns:a16="http://schemas.microsoft.com/office/drawing/2014/main" id="{98875CB9-B77C-DACD-EBC9-84296943E14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>
                <a:extLst>
                  <a:ext uri="{96DAC541-7B7A-43D3-8B79-37D633B846F1}">
                    <asvg:svgBlip xmlns:asvg="http://schemas.microsoft.com/office/drawing/2016/SVG/main" r:embed="rId6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sp macro="" textlink="C̳álculos!E28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AFC31B02-2B41-4928-9FAB-34EE3EF60732}"/>
              </a:ext>
            </a:extLst>
          </xdr:cNvPr>
          <xdr:cNvSpPr/>
        </xdr:nvSpPr>
        <xdr:spPr>
          <a:xfrm>
            <a:off x="7405688" y="1305720"/>
            <a:ext cx="1897061" cy="508001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r"/>
            <a:fld id="{5BB14637-7207-4AC0-8BB7-8679275B0EE2}" type="TxLink">
              <a:rPr lang="en-US" sz="2000" b="0" i="0" u="none" strike="noStrike">
                <a:solidFill>
                  <a:srgbClr val="22C55E"/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rPr>
              <a:pPr marL="0" indent="0" algn="r"/>
              <a:t>R$ 1.140,00</a:t>
            </a:fld>
            <a:endParaRPr lang="pt-BR" sz="2000" b="0" i="0" u="none" strike="noStrike">
              <a:solidFill>
                <a:srgbClr val="22C55E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endParaRPr>
          </a:p>
        </xdr:txBody>
      </xdr:sp>
    </xdr:grpSp>
    <xdr:clientData/>
  </xdr:twoCellAnchor>
  <xdr:twoCellAnchor>
    <xdr:from>
      <xdr:col>2</xdr:col>
      <xdr:colOff>134937</xdr:colOff>
      <xdr:row>12</xdr:row>
      <xdr:rowOff>166688</xdr:rowOff>
    </xdr:from>
    <xdr:to>
      <xdr:col>15</xdr:col>
      <xdr:colOff>246062</xdr:colOff>
      <xdr:row>15</xdr:row>
      <xdr:rowOff>55563</xdr:rowOff>
    </xdr:to>
    <xdr:sp macro="" textlink="">
      <xdr:nvSpPr>
        <xdr:cNvPr id="23" name="Retângulo: Cantos Superiores Arredondados 22">
          <a:extLst>
            <a:ext uri="{FF2B5EF4-FFF2-40B4-BE49-F238E27FC236}">
              <a16:creationId xmlns:a16="http://schemas.microsoft.com/office/drawing/2014/main" id="{CFEE2E6B-EF02-4E69-B408-DB660FAA2AF9}"/>
            </a:ext>
          </a:extLst>
        </xdr:cNvPr>
        <xdr:cNvSpPr/>
      </xdr:nvSpPr>
      <xdr:spPr>
        <a:xfrm>
          <a:off x="2206625" y="2460626"/>
          <a:ext cx="7905750" cy="436562"/>
        </a:xfrm>
        <a:prstGeom prst="round2SameRect">
          <a:avLst/>
        </a:prstGeom>
        <a:solidFill>
          <a:srgbClr val="22C55E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TOTAL SUBSCRIPTIONS XBOX GAME PASS</a:t>
          </a:r>
        </a:p>
      </xdr:txBody>
    </xdr:sp>
    <xdr:clientData/>
  </xdr:twoCellAnchor>
  <xdr:twoCellAnchor>
    <xdr:from>
      <xdr:col>0</xdr:col>
      <xdr:colOff>444500</xdr:colOff>
      <xdr:row>0</xdr:row>
      <xdr:rowOff>127001</xdr:rowOff>
    </xdr:from>
    <xdr:to>
      <xdr:col>0</xdr:col>
      <xdr:colOff>1182687</xdr:colOff>
      <xdr:row>3</xdr:row>
      <xdr:rowOff>71437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07D300C5-A258-47FE-A068-8D9F1FF03CDD}"/>
            </a:ext>
          </a:extLst>
        </xdr:cNvPr>
        <xdr:cNvSpPr/>
      </xdr:nvSpPr>
      <xdr:spPr>
        <a:xfrm>
          <a:off x="444500" y="127001"/>
          <a:ext cx="738187" cy="66674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198438</xdr:colOff>
      <xdr:row>3</xdr:row>
      <xdr:rowOff>63500</xdr:rowOff>
    </xdr:from>
    <xdr:to>
      <xdr:col>0</xdr:col>
      <xdr:colOff>1635126</xdr:colOff>
      <xdr:row>5</xdr:row>
      <xdr:rowOff>87313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B55048E6-634F-C907-9972-DE17AA34677F}"/>
            </a:ext>
          </a:extLst>
        </xdr:cNvPr>
        <xdr:cNvSpPr/>
      </xdr:nvSpPr>
      <xdr:spPr>
        <a:xfrm>
          <a:off x="198438" y="785813"/>
          <a:ext cx="1436688" cy="25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BEM VINDO, CARLOS</a:t>
          </a:r>
        </a:p>
      </xdr:txBody>
    </xdr:sp>
    <xdr:clientData/>
  </xdr:twoCellAnchor>
  <xdr:twoCellAnchor>
    <xdr:from>
      <xdr:col>0</xdr:col>
      <xdr:colOff>1774825</xdr:colOff>
      <xdr:row>2</xdr:row>
      <xdr:rowOff>228599</xdr:rowOff>
    </xdr:from>
    <xdr:to>
      <xdr:col>10</xdr:col>
      <xdr:colOff>344488</xdr:colOff>
      <xdr:row>4</xdr:row>
      <xdr:rowOff>101600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FCA8DFBD-2D29-4B88-BA98-42BBF725E06F}"/>
            </a:ext>
          </a:extLst>
        </xdr:cNvPr>
        <xdr:cNvSpPr/>
      </xdr:nvSpPr>
      <xdr:spPr>
        <a:xfrm>
          <a:off x="1774825" y="679449"/>
          <a:ext cx="5516563" cy="2413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>
              <a:solidFill>
                <a:schemeClr val="bg1">
                  <a:lumMod val="50000"/>
                </a:schemeClr>
              </a:solidFill>
            </a:rPr>
            <a:t>Calculations period: 01/01/2024-25/12/2024 | Update</a:t>
          </a:r>
          <a:r>
            <a:rPr lang="pt-BR" sz="1050" baseline="0">
              <a:solidFill>
                <a:schemeClr val="bg1">
                  <a:lumMod val="50000"/>
                </a:schemeClr>
              </a:solidFill>
            </a:rPr>
            <a:t> date: 25/12/2024 09:00:00</a:t>
          </a:r>
          <a:endParaRPr lang="pt-BR" sz="105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A CRISTINA ROCHA BARBOSA" refreshedDate="46043.955214120368" createdVersion="8" refreshedVersion="8" minRefreshableVersion="3" recordCount="295" xr:uid="{42666B77-E7D2-4FFB-B8A5-81169DE0610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933541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E0BD1-106A-4B94-BB69-77AF8933C5DB}" name="Tabela dinâmica5" cacheId="1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25:C2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38E60-872C-41FC-9A70-B726C5FC371D}" name="Tabela dinâmica4" cacheId="1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6:C2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1EC74-C87C-4754-B2BC-799A8DC113BC}" name="tbl_anual_value" cacheId="1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6:C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1E33388-19C2-44D0-BF60-52E17F865A85}" sourceName="Subscription Type">
  <pivotTables>
    <pivotTable tabId="3" name="tbl_anual_value"/>
    <pivotTable tabId="3" name="Tabela dinâmica4"/>
    <pivotTable tabId="3" name="Tabela dinâmica5"/>
  </pivotTables>
  <data>
    <tabular pivotCacheId="1393354133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1EF14C1-41A4-4660-B18F-30BB899824F7}" cache="SegmentaçãodeDados_Subscription_Type" caption="Subscription Type" style="SlicerStyleLight6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B7" sqref="B7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C19" sqref="C19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E29"/>
  <sheetViews>
    <sheetView showGridLines="0" topLeftCell="A10" workbookViewId="0">
      <selection activeCell="E29" sqref="E29"/>
    </sheetView>
  </sheetViews>
  <sheetFormatPr defaultRowHeight="14.5" x14ac:dyDescent="0.35"/>
  <cols>
    <col min="2" max="2" width="17" bestFit="1" customWidth="1"/>
    <col min="3" max="3" width="32.1796875" bestFit="1" customWidth="1"/>
    <col min="4" max="4" width="9.81640625" customWidth="1"/>
    <col min="5" max="5" width="12.6328125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1" spans="1:3" x14ac:dyDescent="0.35">
      <c r="A1" t="s">
        <v>317</v>
      </c>
    </row>
    <row r="2" spans="1:3" x14ac:dyDescent="0.35">
      <c r="A2" t="s">
        <v>318</v>
      </c>
    </row>
    <row r="3" spans="1:3" x14ac:dyDescent="0.35">
      <c r="A3" t="s">
        <v>319</v>
      </c>
    </row>
    <row r="4" spans="1:3" x14ac:dyDescent="0.35">
      <c r="B4" s="12" t="s">
        <v>16</v>
      </c>
      <c r="C4" t="s">
        <v>27</v>
      </c>
    </row>
    <row r="6" spans="1:3" x14ac:dyDescent="0.35">
      <c r="B6" s="12" t="s">
        <v>313</v>
      </c>
      <c r="C6" t="s">
        <v>315</v>
      </c>
    </row>
    <row r="7" spans="1:3" x14ac:dyDescent="0.35">
      <c r="B7" s="13" t="s">
        <v>23</v>
      </c>
      <c r="C7" s="14">
        <v>806</v>
      </c>
    </row>
    <row r="8" spans="1:3" x14ac:dyDescent="0.35">
      <c r="B8" s="13" t="s">
        <v>19</v>
      </c>
      <c r="C8" s="14">
        <v>1502</v>
      </c>
    </row>
    <row r="9" spans="1:3" x14ac:dyDescent="0.35">
      <c r="B9" s="13" t="s">
        <v>314</v>
      </c>
      <c r="C9" s="14">
        <v>2308</v>
      </c>
    </row>
    <row r="14" spans="1:3" x14ac:dyDescent="0.35">
      <c r="B14" s="12" t="s">
        <v>16</v>
      </c>
      <c r="C14" t="s">
        <v>27</v>
      </c>
    </row>
    <row r="16" spans="1:3" x14ac:dyDescent="0.35">
      <c r="B16" s="12" t="s">
        <v>313</v>
      </c>
      <c r="C16" t="s">
        <v>320</v>
      </c>
    </row>
    <row r="17" spans="2:5" x14ac:dyDescent="0.35">
      <c r="B17" s="13" t="s">
        <v>22</v>
      </c>
      <c r="C17" s="15">
        <v>0</v>
      </c>
    </row>
    <row r="18" spans="2:5" x14ac:dyDescent="0.35">
      <c r="B18" s="13" t="s">
        <v>26</v>
      </c>
      <c r="C18" s="15">
        <v>0</v>
      </c>
    </row>
    <row r="19" spans="2:5" x14ac:dyDescent="0.35">
      <c r="B19" s="13" t="s">
        <v>18</v>
      </c>
      <c r="C19" s="15">
        <v>990</v>
      </c>
      <c r="E19" s="16">
        <f>GETPIVOTDATA("EA Play Season Pass
Price",$B$16)</f>
        <v>990</v>
      </c>
    </row>
    <row r="20" spans="2:5" x14ac:dyDescent="0.35">
      <c r="B20" s="13" t="s">
        <v>314</v>
      </c>
      <c r="C20" s="15">
        <v>990</v>
      </c>
    </row>
    <row r="23" spans="2:5" x14ac:dyDescent="0.35">
      <c r="B23" s="12" t="s">
        <v>16</v>
      </c>
      <c r="C23" t="s">
        <v>27</v>
      </c>
    </row>
    <row r="25" spans="2:5" x14ac:dyDescent="0.35">
      <c r="B25" s="12" t="s">
        <v>313</v>
      </c>
      <c r="C25" t="s">
        <v>321</v>
      </c>
    </row>
    <row r="26" spans="2:5" x14ac:dyDescent="0.35">
      <c r="B26" s="13" t="s">
        <v>22</v>
      </c>
      <c r="C26" s="14">
        <v>0</v>
      </c>
    </row>
    <row r="27" spans="2:5" x14ac:dyDescent="0.35">
      <c r="B27" s="13" t="s">
        <v>26</v>
      </c>
      <c r="C27" s="14">
        <v>480</v>
      </c>
    </row>
    <row r="28" spans="2:5" x14ac:dyDescent="0.35">
      <c r="B28" s="13" t="s">
        <v>18</v>
      </c>
      <c r="C28" s="14">
        <v>660</v>
      </c>
      <c r="E28" s="16">
        <f>GETPIVOTDATA("Minecraft Season Pass Price",$B$25)</f>
        <v>1140</v>
      </c>
    </row>
    <row r="29" spans="2:5" x14ac:dyDescent="0.35">
      <c r="B29" s="13" t="s">
        <v>314</v>
      </c>
      <c r="C29" s="14"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B85"/>
  <sheetViews>
    <sheetView showGridLines="0" showRowColHeaders="0" tabSelected="1" zoomScaleNormal="100" workbookViewId="0"/>
  </sheetViews>
  <sheetFormatPr defaultRowHeight="14.5" x14ac:dyDescent="0.35"/>
  <cols>
    <col min="1" max="1" width="26.08984375" style="4" customWidth="1"/>
    <col min="2" max="2" width="3.54296875" customWidth="1"/>
    <col min="12" max="12" width="6.54296875" customWidth="1"/>
  </cols>
  <sheetData>
    <row r="2" spans="2:28" ht="21" customHeight="1" thickBot="1" x14ac:dyDescent="0.65">
      <c r="C2" s="17" t="s">
        <v>316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2:28" ht="21.5" customHeight="1" thickTop="1" x14ac:dyDescent="0.35"/>
    <row r="4" spans="2:28" ht="7.5" customHeight="1" x14ac:dyDescent="0.3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2:28" ht="10.5" customHeight="1" x14ac:dyDescent="0.3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2:28" ht="9.75" customHeight="1" x14ac:dyDescent="0.3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2:28" ht="33" customHeight="1" x14ac:dyDescent="0.3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2:28" x14ac:dyDescent="0.3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2:28" x14ac:dyDescent="0.3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2:28" x14ac:dyDescent="0.3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2:28" x14ac:dyDescent="0.3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2:28" x14ac:dyDescent="0.3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2:28" x14ac:dyDescent="0.3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2:28" x14ac:dyDescent="0.3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2:28" x14ac:dyDescent="0.3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2:28" x14ac:dyDescent="0.3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2:28" x14ac:dyDescent="0.3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2:28" x14ac:dyDescent="0.3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2:28" x14ac:dyDescent="0.3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2:28" x14ac:dyDescent="0.3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2:28" x14ac:dyDescent="0.3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2:28" x14ac:dyDescent="0.3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2:28" x14ac:dyDescent="0.3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2:28" x14ac:dyDescent="0.3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2:28" x14ac:dyDescent="0.3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2:28" x14ac:dyDescent="0.3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2:28" x14ac:dyDescent="0.3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2:28" x14ac:dyDescent="0.3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2:28" x14ac:dyDescent="0.3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2:28" x14ac:dyDescent="0.3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2:28" x14ac:dyDescent="0.3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2:28" x14ac:dyDescent="0.3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2:28" x14ac:dyDescent="0.3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2:28" x14ac:dyDescent="0.3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2:28" x14ac:dyDescent="0.3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2:28" x14ac:dyDescent="0.3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2:28" x14ac:dyDescent="0.3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2:28" x14ac:dyDescent="0.3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2:28" x14ac:dyDescent="0.3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2:28" x14ac:dyDescent="0.3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2:28" x14ac:dyDescent="0.3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2:28" x14ac:dyDescent="0.3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2:28" x14ac:dyDescent="0.3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2:28" x14ac:dyDescent="0.3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2:28" x14ac:dyDescent="0.3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2:28" x14ac:dyDescent="0.3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2:28" x14ac:dyDescent="0.3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2:28" x14ac:dyDescent="0.3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2:28" x14ac:dyDescent="0.3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2:28" x14ac:dyDescent="0.3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2:28" x14ac:dyDescent="0.3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2:28" x14ac:dyDescent="0.3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2:28" x14ac:dyDescent="0.3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2:28" x14ac:dyDescent="0.3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2:28" x14ac:dyDescent="0.3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2:28" x14ac:dyDescent="0.3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2:28" x14ac:dyDescent="0.3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2:28" x14ac:dyDescent="0.3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2:28" x14ac:dyDescent="0.3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2:28" x14ac:dyDescent="0.3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2:28" x14ac:dyDescent="0.3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2:28" x14ac:dyDescent="0.3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2:28" x14ac:dyDescent="0.3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2:28" x14ac:dyDescent="0.3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2:28" x14ac:dyDescent="0.3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2:28" x14ac:dyDescent="0.3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2:28" x14ac:dyDescent="0.3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2:28" x14ac:dyDescent="0.3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2:28" x14ac:dyDescent="0.3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2:28" x14ac:dyDescent="0.3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2:28" x14ac:dyDescent="0.3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2:28" x14ac:dyDescent="0.3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2:28" x14ac:dyDescent="0.3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x14ac:dyDescent="0.3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x14ac:dyDescent="0.3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x14ac:dyDescent="0.3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x14ac:dyDescent="0.3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x14ac:dyDescent="0.3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x14ac:dyDescent="0.3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x14ac:dyDescent="0.3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x14ac:dyDescent="0.3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2:28" x14ac:dyDescent="0.3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2:28" x14ac:dyDescent="0.3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2:28" x14ac:dyDescent="0.3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2:28" x14ac:dyDescent="0.3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</sheetData>
  <sheetProtection algorithmName="SHA-512" hashValue="FIP7GmVuRCgehXFU4WQLC8eUlv37nP6UZO59FhgV3rBTWQQ7iLCFy1RsVi3XVKfnoAF+one7y5qy4te8yS2ojw==" saltValue="eXYWL7Z3tmVlnWvjBF5VsA==" spinCount="100000" sheet="1" objects="1" scenarios="1" selectLockedCells="1" selectUnlockedCells="1"/>
  <mergeCells count="1">
    <mergeCell ref="C2:P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DANIELA CRISTINA ROCHA BARBOSA</cp:lastModifiedBy>
  <dcterms:created xsi:type="dcterms:W3CDTF">2024-12-19T13:13:10Z</dcterms:created>
  <dcterms:modified xsi:type="dcterms:W3CDTF">2026-01-22T04:23:24Z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